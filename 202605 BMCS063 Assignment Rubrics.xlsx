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Rubrics" sheetId="1" r:id="rId4"/>
    <sheet state="visible" name="Student1" sheetId="2" r:id="rId5"/>
    <sheet state="visible" name="Student2" sheetId="3" r:id="rId6"/>
    <sheet state="visible" name="Student3" sheetId="4" r:id="rId7"/>
    <sheet state="visible" name="Student4" sheetId="5" r:id="rId8"/>
  </sheets>
  <definedNames/>
  <calcPr/>
  <extLst>
    <ext uri="GoogleSheetsCustomDataVersion2">
      <go:sheetsCustomData xmlns:go="http://customooxmlschemas.google.com/" r:id="rId9" roundtripDataChecksum="SxuQh3GP2oJZZsfMXZpYqiHDFMPzVQU4lrJG6ZxYUKU="/>
    </ext>
  </extLst>
</workbook>
</file>

<file path=xl/sharedStrings.xml><?xml version="1.0" encoding="utf-8"?>
<sst xmlns="http://schemas.openxmlformats.org/spreadsheetml/2006/main" count="213" uniqueCount="71">
  <si>
    <t>BMCS2063 Data Structures and Algorithms - Assignment Rubrics 202605</t>
  </si>
  <si>
    <t>Team marks:</t>
  </si>
  <si>
    <t>Team members:</t>
  </si>
  <si>
    <t>Tutor Name:</t>
  </si>
  <si>
    <t>Programme&amp;Group: e.g:RSW2 G1</t>
  </si>
  <si>
    <t>Assessment Criteria</t>
  </si>
  <si>
    <t>Developing
1 - 4 Marks</t>
  </si>
  <si>
    <t>Approaching
5 - 7 Marks</t>
  </si>
  <si>
    <t>Ideal
8 - 10 Marks</t>
  </si>
  <si>
    <t>Marks Awarded</t>
  </si>
  <si>
    <t>Weightage</t>
  </si>
  <si>
    <t>Weighted Marks</t>
  </si>
  <si>
    <t xml:space="preserve">ADT specification
</t>
  </si>
  <si>
    <t>Includes 2 or more of the the items listed under "Approaching".</t>
  </si>
  <si>
    <t>• Incomplete information OR
• Unclear/inaccurate descriptions OR 
• Includes details of the ADT implementation or entity objects.</t>
  </si>
  <si>
    <t>• Correct format AND
• Complete information AND
• Clear &amp; accurate descriptions.</t>
  </si>
  <si>
    <t>Collection ADT Implementation</t>
  </si>
  <si>
    <t>• Inconsistent with ADT spec. OR
• Implementation is not generic OR
• Coding is not efficient or elegant.</t>
  </si>
  <si>
    <t>• Consistent with ADT spec. AND
• Correct use of generic types AND
• Efficient &amp; elegant coding.</t>
  </si>
  <si>
    <t>Collection ADT implementation
- originality</t>
  </si>
  <si>
    <t>Does not demonstrate any originality of implementation &amp; application of new knowledge.</t>
  </si>
  <si>
    <t>• The ADT has not been covered in the course OR 
• Includes additional/modified operations that are non-trivial and meaningful.</t>
  </si>
  <si>
    <t>• The ADT is not covered in the course OR 
• The implementation approach is different from the sample code.</t>
  </si>
  <si>
    <t xml:space="preserve">Comments:      </t>
  </si>
  <si>
    <t xml:space="preserve">Total Mark  </t>
  </si>
  <si>
    <t>Student's name:</t>
  </si>
  <si>
    <t>Programme/Group:</t>
  </si>
  <si>
    <t>Use of ADTs
- either in entity and/or control class(es)</t>
  </si>
  <si>
    <t>• Inappropriate selection of ADT AND
• Inappropriate use of ADT.</t>
  </si>
  <si>
    <t>• Appropriate selection of ADT OR
• Appropriate use of ADT.</t>
  </si>
  <si>
    <t>• Appropriate selection of ADT AND
• Appropriate use of ADT.</t>
  </si>
  <si>
    <t>Use of ADTs 
- creativity &amp; complexity</t>
  </si>
  <si>
    <t>The functionalities/features in the entity and/or control classes do not demonstrate any use of ADTs.</t>
  </si>
  <si>
    <t>The functionalities/features in the entity and/or control classes are creatively designed to demonstrate the use of the ADT.</t>
  </si>
  <si>
    <r>
      <rPr>
        <rFont val="Arial"/>
        <color rgb="FF000000"/>
        <sz val="8.0"/>
      </rPr>
      <t xml:space="preserve">The functionalities/features in the entity and/or control classes are </t>
    </r>
    <r>
      <rPr>
        <rFont val="Arial"/>
        <b/>
        <color rgb="FF000000"/>
        <sz val="8.0"/>
      </rPr>
      <t>very</t>
    </r>
    <r>
      <rPr>
        <rFont val="Arial"/>
        <color rgb="FF000000"/>
        <sz val="8.0"/>
      </rPr>
      <t xml:space="preserve"> creatively designed to demonstrate the use of the ADT.</t>
    </r>
  </si>
  <si>
    <r>
      <rPr>
        <rFont val="Arial"/>
        <color theme="1"/>
        <sz val="8.0"/>
      </rPr>
      <t xml:space="preserve">Overall Solution
</t>
    </r>
    <r>
      <rPr>
        <rFont val="Arial"/>
        <color rgb="FF0000FF"/>
        <sz val="8.0"/>
      </rPr>
      <t>- scope of AI use</t>
    </r>
  </si>
  <si>
    <r>
      <rPr>
        <rFont val="Arial"/>
        <color theme="1"/>
        <sz val="8.0"/>
      </rPr>
      <t xml:space="preserve">• There is one or major bugs AND
• Code is not integrated completely AND
• </t>
    </r>
    <r>
      <rPr>
        <rFont val="Arial"/>
        <color rgb="FF0000FF"/>
        <sz val="8.0"/>
      </rPr>
      <t>Entire module use of AI code generation (limited)</t>
    </r>
  </si>
  <si>
    <r>
      <rPr>
        <rFont val="Arial"/>
        <color theme="1"/>
        <sz val="8.0"/>
      </rPr>
      <t xml:space="preserve">• No major bugs AND
• Code is partially integrated AND
• </t>
    </r>
    <r>
      <rPr>
        <rFont val="Arial"/>
        <color rgb="FF0000FF"/>
        <sz val="8.0"/>
      </rPr>
      <t>Minimal use of AI code generation (helper).</t>
    </r>
  </si>
  <si>
    <r>
      <rPr>
        <rFont val="Arial"/>
        <color theme="1"/>
        <sz val="8.0"/>
      </rPr>
      <t xml:space="preserve">• No major bugs AND
• Code is fully integrated with the team's NetBeans project AND
• </t>
    </r>
    <r>
      <rPr>
        <rFont val="Arial"/>
        <color rgb="FF0000FF"/>
        <sz val="8.0"/>
      </rPr>
      <t>No AI code generation applied.</t>
    </r>
    <r>
      <rPr>
        <rFont val="Arial"/>
        <color theme="1"/>
        <sz val="8.0"/>
      </rPr>
      <t xml:space="preserve">
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</si>
  <si>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PLO3).</t>
    </r>
    <r>
      <rPr>
        <rFont val="Arial"/>
        <color rgb="FFFF0000"/>
        <sz val="10.0"/>
      </rPr>
      <t xml:space="preserve">
Note: Students are required to obtain a pass mark (i.e., at least 40 marks) for CLO2 in order to pass the coursework.                 </t>
    </r>
  </si>
  <si>
    <t>Subtotal</t>
  </si>
  <si>
    <t>Oral explanation on the implementation &amp; use of ADTs.</t>
  </si>
  <si>
    <t xml:space="preserve">• Unclear explanation about ADT implementation AND
• Unclear explanation on the use of ADTs
</t>
  </si>
  <si>
    <t xml:space="preserve">• Unclear explanation about ADT implementation OR
• Unclear explanation on the use of ADTs
</t>
  </si>
  <si>
    <t xml:space="preserve">• Clear explanation about ADT implementation AND
• Clear explanation on the use of ADTs
</t>
  </si>
  <si>
    <t>Use of AI code generation
- Adaptation (understand)
- Dependence</t>
  </si>
  <si>
    <t>• Minimal adaptation
• High reliance on AI, little manual effort</t>
  </si>
  <si>
    <t>• Average adapation 
• Moderate reliance on AI, partial manual coding</t>
  </si>
  <si>
    <t>• Entire independent coding
• No reliance on AI.</t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</si>
  <si>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</si>
  <si>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r>
      <rPr>
        <rFont val="Arial, sans-serif"/>
        <color rgb="FF000000"/>
        <sz val="8.0"/>
      </rPr>
      <t xml:space="preserve">The functionalities/features in the entity and/or control classes are </t>
    </r>
    <r>
      <rPr>
        <rFont val="Arial, sans-serif"/>
        <b/>
        <color rgb="FF000000"/>
        <sz val="8.0"/>
      </rPr>
      <t>very</t>
    </r>
    <r>
      <rPr>
        <rFont val="Arial, sans-serif"/>
        <color rgb="FF000000"/>
        <sz val="8.0"/>
      </rPr>
      <t xml:space="preserve"> creatively designed to demonstrate the use of the ADT.</t>
    </r>
  </si>
  <si>
    <t>Overall solution</t>
  </si>
  <si>
    <t xml:space="preserve">• There is one or more major bugs AND
• Inappropriate use of packages.
</t>
  </si>
  <si>
    <t xml:space="preserve">• No major bugs BUT
• Inappropriate use of packages.
</t>
  </si>
  <si>
    <t xml:space="preserve">• No major bugs AND
• Appropriate use of packages AND
• The code is integrated with the team's NetBeans project.
</t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</si>
  <si>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PLO3).</t>
    </r>
    <r>
      <rPr>
        <rFont val="Arial"/>
        <color rgb="FFFF0000"/>
        <sz val="10.0"/>
      </rPr>
      <t xml:space="preserve">
Note: Students are required to obtain a pass mark (i.e., at least 40 marks) for CLO2 in order to pass the coursework.                 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</si>
  <si>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</si>
  <si>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r>
      <rPr>
        <rFont val="Arial"/>
        <color rgb="FF000000"/>
        <sz val="8.0"/>
      </rPr>
      <t xml:space="preserve">The functionalities/features in the entity and/or control classes are </t>
    </r>
    <r>
      <rPr>
        <rFont val="Arial"/>
        <b/>
        <color rgb="FF000000"/>
        <sz val="8.0"/>
      </rPr>
      <t>very</t>
    </r>
    <r>
      <rPr>
        <rFont val="Arial"/>
        <color rgb="FF000000"/>
        <sz val="8.0"/>
      </rPr>
      <t xml:space="preserve"> creatively designed to demonstrate the use of the ADT.</t>
    </r>
  </si>
  <si>
    <r>
      <rPr>
        <rFont val="Arial"/>
        <color theme="1"/>
        <sz val="8.0"/>
      </rPr>
      <t xml:space="preserve">Overall Solution
</t>
    </r>
    <r>
      <rPr>
        <rFont val="Arial"/>
        <color rgb="FF0000FF"/>
        <sz val="8.0"/>
      </rPr>
      <t>- scope of AI use</t>
    </r>
  </si>
  <si>
    <r>
      <rPr>
        <rFont val="Arial"/>
        <color theme="1"/>
        <sz val="8.0"/>
      </rPr>
      <t xml:space="preserve">• There is one or major bugs AND
• Code is not integrated completely AND
• </t>
    </r>
    <r>
      <rPr>
        <rFont val="Arial"/>
        <color rgb="FF0000FF"/>
        <sz val="8.0"/>
      </rPr>
      <t>Entire module use of AI code generation (limited)</t>
    </r>
  </si>
  <si>
    <r>
      <rPr>
        <rFont val="Arial"/>
        <color theme="1"/>
        <sz val="8.0"/>
      </rPr>
      <t xml:space="preserve">• No major bugs AND
• Code is partially integrated AND
• </t>
    </r>
    <r>
      <rPr>
        <rFont val="Arial"/>
        <color rgb="FF0000FF"/>
        <sz val="8.0"/>
      </rPr>
      <t>Minimal use of AI code generation (helper).</t>
    </r>
  </si>
  <si>
    <r>
      <rPr>
        <rFont val="Arial"/>
        <color theme="1"/>
        <sz val="8.0"/>
      </rPr>
      <t xml:space="preserve">• No major bugs AND
• Code is fully integrated with the team's NetBeans project AND
• </t>
    </r>
    <r>
      <rPr>
        <rFont val="Arial"/>
        <color rgb="FF0000FF"/>
        <sz val="8.0"/>
      </rPr>
      <t>No AI code generation applied.</t>
    </r>
    <r>
      <rPr>
        <rFont val="Arial"/>
        <color theme="1"/>
        <sz val="8.0"/>
      </rPr>
      <t xml:space="preserve">
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</si>
  <si>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PLO3).</t>
    </r>
    <r>
      <rPr>
        <rFont val="Arial"/>
        <color rgb="FFFF0000"/>
        <sz val="10.0"/>
      </rPr>
      <t xml:space="preserve">
Note: Students are required to obtain a pass mark (i.e., at least 40 marks) for CLO2 in order to pass the coursework.                 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</si>
  <si>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</si>
  <si>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r>
      <rPr>
        <rFont val="Arial"/>
        <color rgb="FF000000"/>
        <sz val="8.0"/>
      </rPr>
      <t xml:space="preserve">The functionalities/features in the entity and/or control classes are </t>
    </r>
    <r>
      <rPr>
        <rFont val="Arial"/>
        <b/>
        <color rgb="FF000000"/>
        <sz val="8.0"/>
      </rPr>
      <t>very</t>
    </r>
    <r>
      <rPr>
        <rFont val="Arial"/>
        <color rgb="FF000000"/>
        <sz val="8.0"/>
      </rPr>
      <t xml:space="preserve"> creatively designed to demonstrate the use of the ADT.</t>
    </r>
  </si>
  <si>
    <r>
      <rPr>
        <rFont val="Arial"/>
        <color theme="1"/>
        <sz val="8.0"/>
      </rPr>
      <t xml:space="preserve">Overall Solution
</t>
    </r>
    <r>
      <rPr>
        <rFont val="Arial"/>
        <color rgb="FF0000FF"/>
        <sz val="8.0"/>
      </rPr>
      <t>- scope of AI use</t>
    </r>
  </si>
  <si>
    <r>
      <rPr>
        <rFont val="Arial"/>
        <color theme="1"/>
        <sz val="8.0"/>
      </rPr>
      <t xml:space="preserve">• There is one or major bugs AND
• Code is not integrated completely AND
• </t>
    </r>
    <r>
      <rPr>
        <rFont val="Arial"/>
        <color rgb="FF0000FF"/>
        <sz val="8.0"/>
      </rPr>
      <t>Entire module use of AI code generation (limited)</t>
    </r>
  </si>
  <si>
    <r>
      <rPr>
        <rFont val="Arial"/>
        <color theme="1"/>
        <sz val="8.0"/>
      </rPr>
      <t xml:space="preserve">• No major bugs AND
• Code is partially integrated AND
• </t>
    </r>
    <r>
      <rPr>
        <rFont val="Arial"/>
        <color rgb="FF0000FF"/>
        <sz val="8.0"/>
      </rPr>
      <t>Minimal use of AI code generation (helper).</t>
    </r>
  </si>
  <si>
    <r>
      <rPr>
        <rFont val="Arial"/>
        <color theme="1"/>
        <sz val="8.0"/>
      </rPr>
      <t xml:space="preserve">• No major bugs AND
• Code is fully integrated with the team's NetBeans project AND
• </t>
    </r>
    <r>
      <rPr>
        <rFont val="Arial"/>
        <color rgb="FF0000FF"/>
        <sz val="8.0"/>
      </rPr>
      <t>No AI code generation applied.</t>
    </r>
    <r>
      <rPr>
        <rFont val="Arial"/>
        <color theme="1"/>
        <sz val="8.0"/>
      </rPr>
      <t xml:space="preserve">
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</si>
  <si>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PLO3).</t>
    </r>
    <r>
      <rPr>
        <rFont val="Arial"/>
        <color rgb="FFFF0000"/>
        <sz val="10.0"/>
      </rPr>
      <t xml:space="preserve">
Note: Students are required to obtain a pass mark (i.e., at least 40 marks) for CLO2 in order to pass the coursework.                 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</si>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</sst>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11.0"/>
      <color rgb="FF434343"/>
      <name val="Arial"/>
    </font>
    <font/>
    <font>
      <b/>
      <sz val="10.0"/>
      <color rgb="FF000000"/>
      <name val="Arial"/>
    </font>
    <font>
      <b/>
      <sz val="12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14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3.0"/>
      <color rgb="FF000000"/>
      <name val="Arial"/>
    </font>
    <font>
      <sz val="10.0"/>
      <color rgb="FFFF0000"/>
      <name val="Arial"/>
    </font>
    <font>
      <sz val="8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5" numFmtId="0" xfId="0" applyFont="1"/>
    <xf borderId="0" fillId="0" fontId="8" numFmtId="0" xfId="0" applyAlignment="1" applyFont="1">
      <alignment horizontal="righ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0" fontId="9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right" vertical="center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2" fillId="3" fontId="10" numFmtId="0" xfId="0" applyAlignment="1" applyBorder="1" applyFill="1" applyFont="1">
      <alignment horizontal="left" shrinkToFit="0" vertical="top" wrapText="1"/>
    </xf>
    <xf borderId="2" fillId="3" fontId="10" numFmtId="0" xfId="0" applyAlignment="1" applyBorder="1" applyFont="1">
      <alignment horizontal="center" shrinkToFit="0" vertical="top" wrapText="1"/>
    </xf>
    <xf borderId="2" fillId="3" fontId="1" numFmtId="0" xfId="0" applyAlignment="1" applyBorder="1" applyFont="1">
      <alignment horizontal="center" shrinkToFit="0" vertical="top" wrapText="1"/>
    </xf>
    <xf borderId="3" fillId="0" fontId="9" numFmtId="0" xfId="0" applyBorder="1" applyFont="1"/>
    <xf borderId="4" fillId="4" fontId="12" numFmtId="0" xfId="0" applyAlignment="1" applyBorder="1" applyFill="1" applyFont="1">
      <alignment horizontal="left" shrinkToFit="0" vertical="top" wrapText="1"/>
    </xf>
    <xf borderId="4" fillId="4" fontId="13" numFmtId="0" xfId="0" applyAlignment="1" applyBorder="1" applyFont="1">
      <alignment shrinkToFit="0" vertical="top" wrapText="1"/>
    </xf>
    <xf borderId="4" fillId="4" fontId="1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top" wrapText="1"/>
    </xf>
    <xf borderId="6" fillId="0" fontId="9" numFmtId="0" xfId="0" applyBorder="1" applyFont="1"/>
    <xf borderId="7" fillId="0" fontId="9" numFmtId="0" xfId="0" applyBorder="1" applyFont="1"/>
    <xf borderId="0" fillId="0" fontId="15" numFmtId="0" xfId="0" applyAlignment="1" applyFont="1">
      <alignment vertical="top"/>
    </xf>
    <xf borderId="4" fillId="0" fontId="3" numFmtId="0" xfId="0" applyAlignment="1" applyBorder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vertical="top"/>
    </xf>
    <xf borderId="1" fillId="0" fontId="17" numFmtId="0" xfId="0" applyAlignment="1" applyBorder="1" applyFont="1">
      <alignment horizontal="right" vertical="top"/>
    </xf>
    <xf borderId="1" fillId="2" fontId="1" numFmtId="0" xfId="0" applyAlignment="1" applyBorder="1" applyFont="1">
      <alignment horizontal="left" vertical="center"/>
    </xf>
    <xf borderId="1" fillId="0" fontId="17" numFmtId="0" xfId="0" applyAlignment="1" applyBorder="1" applyFont="1">
      <alignment horizontal="right" vertical="center"/>
    </xf>
    <xf borderId="4" fillId="3" fontId="14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readingOrder="0" shrinkToFit="0" vertical="top" wrapText="1"/>
    </xf>
    <xf borderId="5" fillId="4" fontId="18" numFmtId="0" xfId="0" applyAlignment="1" applyBorder="1" applyFont="1">
      <alignment horizontal="right" shrinkToFit="0" vertical="center" wrapText="1"/>
    </xf>
    <xf borderId="2" fillId="4" fontId="16" numFmtId="0" xfId="0" applyAlignment="1" applyBorder="1" applyFont="1">
      <alignment horizontal="center" shrinkToFit="0" vertical="center" wrapText="1"/>
    </xf>
    <xf borderId="2" fillId="4" fontId="17" numFmtId="0" xfId="0" applyAlignment="1" applyBorder="1" applyFont="1">
      <alignment horizontal="center" shrinkToFit="0" vertical="center" wrapText="1"/>
    </xf>
    <xf borderId="2" fillId="5" fontId="12" numFmtId="0" xfId="0" applyAlignment="1" applyBorder="1" applyFill="1" applyFont="1">
      <alignment horizontal="left" shrinkToFit="0" vertical="top" wrapText="1"/>
    </xf>
    <xf borderId="2" fillId="5" fontId="13" numFmtId="0" xfId="0" applyAlignment="1" applyBorder="1" applyFont="1">
      <alignment shrinkToFit="0" vertical="top" wrapText="1"/>
    </xf>
    <xf borderId="8" fillId="5" fontId="13" numFmtId="0" xfId="0" applyAlignment="1" applyBorder="1" applyFont="1">
      <alignment shrinkToFit="0" vertical="top" wrapText="1"/>
    </xf>
    <xf borderId="8" fillId="5" fontId="14" numFmtId="0" xfId="0" applyAlignment="1" applyBorder="1" applyFont="1">
      <alignment horizontal="center" shrinkToFit="0" vertical="center" wrapText="1"/>
    </xf>
    <xf borderId="2" fillId="5" fontId="16" numFmtId="0" xfId="0" applyAlignment="1" applyBorder="1" applyFont="1">
      <alignment horizontal="center" shrinkToFit="0" vertical="center" wrapText="1"/>
    </xf>
    <xf borderId="9" fillId="5" fontId="14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left" shrinkToFit="0" vertical="top" wrapText="1"/>
    </xf>
    <xf borderId="5" fillId="5" fontId="19" numFmtId="0" xfId="0" applyAlignment="1" applyBorder="1" applyFont="1">
      <alignment shrinkToFit="0" vertical="top" wrapText="1"/>
    </xf>
    <xf borderId="4" fillId="5" fontId="19" numFmtId="0" xfId="0" applyAlignment="1" applyBorder="1" applyFont="1">
      <alignment shrinkToFit="0" vertical="top" wrapText="1"/>
    </xf>
    <xf borderId="10" fillId="5" fontId="14" numFmtId="0" xfId="0" applyAlignment="1" applyBorder="1" applyFont="1">
      <alignment horizontal="center" shrinkToFit="0" vertical="center" wrapText="1"/>
    </xf>
    <xf borderId="11" fillId="5" fontId="16" numFmtId="0" xfId="0" applyAlignment="1" applyBorder="1" applyFont="1">
      <alignment horizontal="center"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right" shrinkToFit="0" vertical="center" wrapText="1"/>
    </xf>
    <xf borderId="4" fillId="4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4" width="26.25"/>
    <col customWidth="1" min="5" max="5" width="12.25"/>
    <col customWidth="1" min="6" max="6" width="11.0"/>
    <col customWidth="1" min="7" max="7" width="11.63"/>
  </cols>
  <sheetData>
    <row r="1" ht="31.5" customHeight="1">
      <c r="A1" s="1" t="s">
        <v>0</v>
      </c>
      <c r="B1" s="1"/>
      <c r="C1" s="1"/>
      <c r="D1" s="1"/>
      <c r="E1" s="2"/>
      <c r="F1" s="3" t="s">
        <v>1</v>
      </c>
      <c r="G1" s="4">
        <f>sum(G8:G10)</f>
        <v>0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.5" customHeight="1">
      <c r="A2" s="7"/>
      <c r="B2" s="8"/>
      <c r="C2" s="8"/>
      <c r="D2" s="8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26.25" customHeight="1">
      <c r="A3" s="11" t="s">
        <v>2</v>
      </c>
      <c r="B3" s="12" t="str">
        <f>IFERROR(__xludf.DUMMYFUNCTION("JOIN("","", Student1!E3,Student2!E3,Student3!E3,Student4!E3)"),",,,")</f>
        <v>,,,</v>
      </c>
      <c r="C3" s="13"/>
      <c r="D3" s="14"/>
      <c r="E3" s="14"/>
      <c r="F3" s="14"/>
      <c r="G3" s="1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6.25" customHeight="1">
      <c r="A4" s="15" t="s">
        <v>3</v>
      </c>
      <c r="B4" s="16"/>
      <c r="C4" s="13"/>
      <c r="E4" s="15" t="s">
        <v>4</v>
      </c>
      <c r="F4" s="17"/>
      <c r="G4" s="13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9.75" customHeight="1">
      <c r="A5" s="18"/>
      <c r="B5" s="19"/>
      <c r="C5" s="19"/>
      <c r="D5" s="19"/>
      <c r="E5" s="20"/>
      <c r="F5" s="15"/>
      <c r="G5" s="1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4.25" customHeight="1">
      <c r="A6" s="21" t="s">
        <v>5</v>
      </c>
      <c r="B6" s="22" t="s">
        <v>6</v>
      </c>
      <c r="C6" s="22" t="s">
        <v>7</v>
      </c>
      <c r="D6" s="22" t="s">
        <v>8</v>
      </c>
      <c r="E6" s="23" t="s">
        <v>9</v>
      </c>
      <c r="F6" s="23" t="s">
        <v>10</v>
      </c>
      <c r="G6" s="23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3.5" customHeight="1">
      <c r="A7" s="24"/>
      <c r="B7" s="24"/>
      <c r="C7" s="24"/>
      <c r="D7" s="24"/>
      <c r="E7" s="24"/>
      <c r="F7" s="24"/>
      <c r="G7" s="2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25" t="s">
        <v>12</v>
      </c>
      <c r="B8" s="26" t="s">
        <v>13</v>
      </c>
      <c r="C8" s="26" t="s">
        <v>14</v>
      </c>
      <c r="D8" s="26" t="s">
        <v>15</v>
      </c>
      <c r="E8" s="27"/>
      <c r="F8" s="28">
        <v>1.0</v>
      </c>
      <c r="G8" s="27">
        <f t="shared" ref="G8:G10" si="1">E8*F8</f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25" t="s">
        <v>16</v>
      </c>
      <c r="B9" s="26" t="s">
        <v>13</v>
      </c>
      <c r="C9" s="26" t="s">
        <v>17</v>
      </c>
      <c r="D9" s="26" t="s">
        <v>18</v>
      </c>
      <c r="E9" s="27"/>
      <c r="F9" s="28">
        <v>1.0</v>
      </c>
      <c r="G9" s="27">
        <f t="shared" si="1"/>
        <v>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39.75" customHeight="1">
      <c r="A10" s="25" t="s">
        <v>19</v>
      </c>
      <c r="B10" s="25" t="s">
        <v>20</v>
      </c>
      <c r="C10" s="25" t="s">
        <v>21</v>
      </c>
      <c r="D10" s="25" t="s">
        <v>22</v>
      </c>
      <c r="E10" s="27"/>
      <c r="F10" s="28">
        <v>1.5</v>
      </c>
      <c r="G10" s="27">
        <f t="shared" si="1"/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76.5" customHeight="1">
      <c r="A11" s="29" t="s">
        <v>23</v>
      </c>
      <c r="B11" s="30"/>
      <c r="C11" s="30"/>
      <c r="D11" s="30"/>
      <c r="E11" s="30"/>
      <c r="F11" s="30"/>
      <c r="G11" s="3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5.75" customHeight="1">
      <c r="A12" s="32"/>
      <c r="B12" s="32"/>
      <c r="C12" s="32"/>
      <c r="D12" s="32"/>
      <c r="E12" s="32"/>
      <c r="F12" s="32"/>
      <c r="G12" s="3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6:E7"/>
    <mergeCell ref="F6:F7"/>
    <mergeCell ref="G6:G7"/>
    <mergeCell ref="A11:G11"/>
    <mergeCell ref="B3:C3"/>
    <mergeCell ref="B4:C4"/>
    <mergeCell ref="F4:G4"/>
    <mergeCell ref="A6:A7"/>
    <mergeCell ref="B6:B7"/>
    <mergeCell ref="C6:C7"/>
    <mergeCell ref="D6:D7"/>
  </mergeCells>
  <dataValidations>
    <dataValidation type="decimal" allowBlank="1" showDropDown="1" showInputMessage="1" showErrorMessage="1" prompt="Enter a number between 0 and 10" sqref="E8:E10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7.88"/>
    <col customWidth="1" min="3" max="3" width="24.25"/>
    <col customWidth="1" min="4" max="4" width="25.0"/>
    <col customWidth="1" min="5" max="5" width="12.25"/>
    <col customWidth="1" min="6" max="6" width="11.0"/>
    <col customWidth="1" min="7" max="7" width="11.63"/>
  </cols>
  <sheetData>
    <row r="1" ht="22.5" customHeight="1">
      <c r="A1" s="1" t="str">
        <f>'Team Rubrics'!A1</f>
        <v>BMCS2063 Data Structures and Algorithms - Assignment Rubrics 202605</v>
      </c>
      <c r="B1" s="1"/>
      <c r="C1" s="1"/>
      <c r="D1" s="1"/>
      <c r="E1" s="2"/>
      <c r="F1" s="3" t="s">
        <v>24</v>
      </c>
      <c r="G1" s="33">
        <f>sum(G14+G17)</f>
        <v>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75" customHeight="1">
      <c r="A2" s="7"/>
      <c r="B2" s="8"/>
      <c r="C2" s="8"/>
      <c r="D2" s="8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9.5" customHeight="1">
      <c r="A3" s="34"/>
      <c r="B3" s="19"/>
      <c r="C3" s="19"/>
      <c r="D3" s="35" t="s">
        <v>25</v>
      </c>
      <c r="E3" s="36"/>
      <c r="F3" s="13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22.5" customHeight="1">
      <c r="A4" s="15" t="str">
        <f>'Team Rubrics'!A4</f>
        <v>Tutor Name:</v>
      </c>
      <c r="B4" s="37" t="str">
        <f>'Team Rubrics'!B4</f>
        <v/>
      </c>
      <c r="C4" s="13"/>
      <c r="D4" s="15" t="s">
        <v>26</v>
      </c>
      <c r="E4" s="38"/>
      <c r="F4" s="13"/>
      <c r="G4" s="13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75" customHeight="1">
      <c r="A5" s="18"/>
      <c r="B5" s="19"/>
      <c r="C5" s="19"/>
      <c r="D5" s="19"/>
      <c r="E5" s="20"/>
      <c r="F5" s="15"/>
      <c r="G5" s="1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21" t="s">
        <v>5</v>
      </c>
      <c r="B6" s="22" t="s">
        <v>6</v>
      </c>
      <c r="C6" s="22" t="s">
        <v>7</v>
      </c>
      <c r="D6" s="22" t="s">
        <v>8</v>
      </c>
      <c r="E6" s="23" t="s">
        <v>9</v>
      </c>
      <c r="F6" s="23" t="s">
        <v>10</v>
      </c>
      <c r="G6" s="23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24"/>
      <c r="B7" s="24"/>
      <c r="C7" s="24"/>
      <c r="D7" s="24"/>
      <c r="E7" s="24"/>
      <c r="F7" s="24"/>
      <c r="G7" s="2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44.25" customHeight="1">
      <c r="A8" s="25" t="s">
        <v>12</v>
      </c>
      <c r="B8" s="26" t="s">
        <v>13</v>
      </c>
      <c r="C8" s="26" t="s">
        <v>14</v>
      </c>
      <c r="D8" s="26" t="s">
        <v>15</v>
      </c>
      <c r="E8" s="39" t="str">
        <f>'Team Rubrics'!$E$8</f>
        <v/>
      </c>
      <c r="F8" s="28">
        <v>1.0</v>
      </c>
      <c r="G8" s="27">
        <f t="shared" ref="G8:G13" si="1">E8*F8</f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33.75" customHeight="1">
      <c r="A9" s="25" t="s">
        <v>16</v>
      </c>
      <c r="B9" s="26" t="s">
        <v>13</v>
      </c>
      <c r="C9" s="26" t="s">
        <v>17</v>
      </c>
      <c r="D9" s="26" t="s">
        <v>18</v>
      </c>
      <c r="E9" s="39" t="str">
        <f>'Team Rubrics'!$E$9</f>
        <v/>
      </c>
      <c r="F9" s="28">
        <v>1.0</v>
      </c>
      <c r="G9" s="27">
        <f t="shared" si="1"/>
        <v>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2.0" customHeight="1">
      <c r="A10" s="25" t="s">
        <v>19</v>
      </c>
      <c r="B10" s="25" t="s">
        <v>20</v>
      </c>
      <c r="C10" s="25" t="s">
        <v>21</v>
      </c>
      <c r="D10" s="25" t="s">
        <v>22</v>
      </c>
      <c r="E10" s="39" t="str">
        <f>'Team Rubrics'!$E$10</f>
        <v/>
      </c>
      <c r="F10" s="28">
        <v>1.5</v>
      </c>
      <c r="G10" s="27">
        <f t="shared" si="1"/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2.25" customHeight="1">
      <c r="A11" s="25" t="s">
        <v>27</v>
      </c>
      <c r="B11" s="26" t="s">
        <v>28</v>
      </c>
      <c r="C11" s="26" t="s">
        <v>29</v>
      </c>
      <c r="D11" s="26" t="s">
        <v>30</v>
      </c>
      <c r="E11" s="27"/>
      <c r="F11" s="28">
        <v>1.5</v>
      </c>
      <c r="G11" s="27">
        <f t="shared" si="1"/>
        <v>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39.75" customHeight="1">
      <c r="A12" s="25" t="s">
        <v>31</v>
      </c>
      <c r="B12" s="25" t="s">
        <v>32</v>
      </c>
      <c r="C12" s="25" t="s">
        <v>33</v>
      </c>
      <c r="D12" s="25" t="s">
        <v>34</v>
      </c>
      <c r="E12" s="27"/>
      <c r="F12" s="28">
        <v>2.0</v>
      </c>
      <c r="G12" s="27">
        <f t="shared" si="1"/>
        <v>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2.75" customHeight="1">
      <c r="A13" s="26" t="s">
        <v>35</v>
      </c>
      <c r="B13" s="26" t="s">
        <v>36</v>
      </c>
      <c r="C13" s="26" t="s">
        <v>37</v>
      </c>
      <c r="D13" s="40" t="s">
        <v>38</v>
      </c>
      <c r="E13" s="27"/>
      <c r="F13" s="28">
        <v>1.5</v>
      </c>
      <c r="G13" s="27">
        <f t="shared" si="1"/>
        <v>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30.0" customHeight="1">
      <c r="A14" s="41" t="s">
        <v>39</v>
      </c>
      <c r="B14" s="30"/>
      <c r="C14" s="30"/>
      <c r="D14" s="30"/>
      <c r="E14" s="31"/>
      <c r="F14" s="42" t="s">
        <v>40</v>
      </c>
      <c r="G14" s="43">
        <f>sum(G8:G13)</f>
        <v>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41.25" customHeight="1">
      <c r="A15" s="44" t="s">
        <v>41</v>
      </c>
      <c r="B15" s="45" t="s">
        <v>42</v>
      </c>
      <c r="C15" s="45" t="s">
        <v>43</v>
      </c>
      <c r="D15" s="46" t="s">
        <v>44</v>
      </c>
      <c r="E15" s="47"/>
      <c r="F15" s="48">
        <v>0.5</v>
      </c>
      <c r="G15" s="49">
        <f t="shared" ref="G15:G16" si="2">E15*F15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3.75" customHeight="1">
      <c r="A16" s="50" t="s">
        <v>45</v>
      </c>
      <c r="B16" s="51" t="s">
        <v>46</v>
      </c>
      <c r="C16" s="51" t="s">
        <v>47</v>
      </c>
      <c r="D16" s="52" t="s">
        <v>48</v>
      </c>
      <c r="E16" s="53"/>
      <c r="F16" s="54">
        <v>1.0</v>
      </c>
      <c r="G16" s="55">
        <f t="shared" si="2"/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1.75" customHeight="1">
      <c r="A17" s="56" t="s">
        <v>49</v>
      </c>
      <c r="B17" s="30"/>
      <c r="C17" s="30"/>
      <c r="D17" s="30"/>
      <c r="E17" s="31"/>
      <c r="F17" s="42" t="s">
        <v>40</v>
      </c>
      <c r="G17" s="43">
        <f>sum(G15:G16)</f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60.0" customHeight="1">
      <c r="A18" s="29" t="s">
        <v>23</v>
      </c>
      <c r="B18" s="30"/>
      <c r="C18" s="30"/>
      <c r="D18" s="30"/>
      <c r="E18" s="30"/>
      <c r="F18" s="30"/>
      <c r="G18" s="3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E6:E7"/>
    <mergeCell ref="F6:F7"/>
    <mergeCell ref="D6:D7"/>
    <mergeCell ref="A14:E14"/>
    <mergeCell ref="A17:E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0" priority="1">
      <formula>LEN(TRIM(E8))&gt;0</formula>
    </cfRule>
  </conditionalFormatting>
  <dataValidations>
    <dataValidation type="decimal" allowBlank="1" showDropDown="1" showInputMessage="1" showErrorMessage="1" prompt="Enter a number between 0 and 10" sqref="E8:E13 E15:E16">
      <formula1>0.0</formula1>
      <formula2>10.0</formula2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colBreaks count="1" manualBreakCount="1">
    <brk id="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63"/>
    <col customWidth="1" min="2" max="4" width="26.25"/>
    <col customWidth="1" min="5" max="5" width="12.25"/>
    <col customWidth="1" min="6" max="6" width="11.0"/>
    <col customWidth="1" min="7" max="7" width="11.63"/>
  </cols>
  <sheetData>
    <row r="1" ht="23.25" customHeight="1">
      <c r="A1" s="1" t="str">
        <f>'Team Rubrics'!A1</f>
        <v>BMCS2063 Data Structures and Algorithms - Assignment Rubrics 202605</v>
      </c>
      <c r="B1" s="1"/>
      <c r="C1" s="1"/>
      <c r="D1" s="1"/>
      <c r="E1" s="2"/>
      <c r="F1" s="3" t="s">
        <v>24</v>
      </c>
      <c r="G1" s="33">
        <f>G14+G17</f>
        <v>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75" customHeight="1">
      <c r="A2" s="7"/>
      <c r="B2" s="8"/>
      <c r="C2" s="8"/>
      <c r="D2" s="8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9.5" customHeight="1">
      <c r="A3" s="34"/>
      <c r="B3" s="19"/>
      <c r="C3" s="19"/>
      <c r="D3" s="35" t="s">
        <v>25</v>
      </c>
      <c r="E3" s="36"/>
      <c r="F3" s="13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22.5" customHeight="1">
      <c r="A4" s="15" t="str">
        <f>'Team Rubrics'!A4</f>
        <v>Tutor Name:</v>
      </c>
      <c r="B4" s="37" t="str">
        <f>'Team Rubrics'!B4</f>
        <v/>
      </c>
      <c r="C4" s="13"/>
      <c r="D4" s="15" t="s">
        <v>26</v>
      </c>
      <c r="E4" s="38"/>
      <c r="F4" s="13"/>
      <c r="G4" s="13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75" customHeight="1">
      <c r="A5" s="18"/>
      <c r="B5" s="19"/>
      <c r="C5" s="19"/>
      <c r="D5" s="19"/>
      <c r="E5" s="20"/>
      <c r="F5" s="15"/>
      <c r="G5" s="1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21" t="s">
        <v>5</v>
      </c>
      <c r="B6" s="22" t="s">
        <v>6</v>
      </c>
      <c r="C6" s="22" t="s">
        <v>7</v>
      </c>
      <c r="D6" s="22" t="s">
        <v>8</v>
      </c>
      <c r="E6" s="23" t="s">
        <v>9</v>
      </c>
      <c r="F6" s="23" t="s">
        <v>10</v>
      </c>
      <c r="G6" s="23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24"/>
      <c r="B7" s="24"/>
      <c r="C7" s="24"/>
      <c r="D7" s="24"/>
      <c r="E7" s="24"/>
      <c r="F7" s="24"/>
      <c r="G7" s="2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39.75" customHeight="1">
      <c r="A8" s="25" t="s">
        <v>12</v>
      </c>
      <c r="B8" s="26" t="s">
        <v>13</v>
      </c>
      <c r="C8" s="26" t="s">
        <v>14</v>
      </c>
      <c r="D8" s="26" t="s">
        <v>15</v>
      </c>
      <c r="E8" s="39" t="str">
        <f>'Team Rubrics'!$E$8</f>
        <v/>
      </c>
      <c r="F8" s="28">
        <v>1.0</v>
      </c>
      <c r="G8" s="27">
        <f t="shared" ref="G8:G13" si="1">E8*F8</f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33.75" customHeight="1">
      <c r="A9" s="25" t="s">
        <v>16</v>
      </c>
      <c r="B9" s="26" t="s">
        <v>13</v>
      </c>
      <c r="C9" s="26" t="s">
        <v>17</v>
      </c>
      <c r="D9" s="26" t="s">
        <v>18</v>
      </c>
      <c r="E9" s="39" t="str">
        <f>'Team Rubrics'!$E$9</f>
        <v/>
      </c>
      <c r="F9" s="28">
        <v>1.0</v>
      </c>
      <c r="G9" s="27">
        <f t="shared" si="1"/>
        <v>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2.0" customHeight="1">
      <c r="A10" s="25" t="s">
        <v>19</v>
      </c>
      <c r="B10" s="25" t="s">
        <v>20</v>
      </c>
      <c r="C10" s="25" t="s">
        <v>21</v>
      </c>
      <c r="D10" s="25" t="s">
        <v>22</v>
      </c>
      <c r="E10" s="39" t="str">
        <f>'Team Rubrics'!$E$10</f>
        <v/>
      </c>
      <c r="F10" s="28">
        <v>1.5</v>
      </c>
      <c r="G10" s="27">
        <f t="shared" si="1"/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2.25" customHeight="1">
      <c r="A11" s="25" t="s">
        <v>27</v>
      </c>
      <c r="B11" s="26" t="s">
        <v>28</v>
      </c>
      <c r="C11" s="26" t="s">
        <v>29</v>
      </c>
      <c r="D11" s="26" t="s">
        <v>30</v>
      </c>
      <c r="E11" s="27"/>
      <c r="F11" s="28">
        <v>1.5</v>
      </c>
      <c r="G11" s="27">
        <f t="shared" si="1"/>
        <v>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39.75" customHeight="1">
      <c r="A12" s="25" t="s">
        <v>31</v>
      </c>
      <c r="B12" s="25" t="s">
        <v>32</v>
      </c>
      <c r="C12" s="25" t="s">
        <v>33</v>
      </c>
      <c r="D12" s="25" t="s">
        <v>50</v>
      </c>
      <c r="E12" s="27"/>
      <c r="F12" s="28">
        <v>2.0</v>
      </c>
      <c r="G12" s="27">
        <f t="shared" si="1"/>
        <v>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39.75" customHeight="1">
      <c r="A13" s="26" t="s">
        <v>51</v>
      </c>
      <c r="B13" s="26" t="s">
        <v>52</v>
      </c>
      <c r="C13" s="26" t="s">
        <v>53</v>
      </c>
      <c r="D13" s="26" t="s">
        <v>54</v>
      </c>
      <c r="E13" s="27"/>
      <c r="F13" s="28">
        <v>1.5</v>
      </c>
      <c r="G13" s="27">
        <f t="shared" si="1"/>
        <v>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30.0" customHeight="1">
      <c r="A14" s="41" t="s">
        <v>55</v>
      </c>
      <c r="B14" s="30"/>
      <c r="C14" s="30"/>
      <c r="D14" s="30"/>
      <c r="E14" s="31"/>
      <c r="F14" s="57" t="s">
        <v>40</v>
      </c>
      <c r="G14" s="57">
        <f>sum(G8:G13)</f>
        <v>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30.75" customHeight="1">
      <c r="A15" s="44" t="s">
        <v>41</v>
      </c>
      <c r="B15" s="45" t="s">
        <v>42</v>
      </c>
      <c r="C15" s="45" t="s">
        <v>43</v>
      </c>
      <c r="D15" s="46" t="s">
        <v>44</v>
      </c>
      <c r="E15" s="47"/>
      <c r="F15" s="48">
        <v>0.5</v>
      </c>
      <c r="G15" s="49">
        <f t="shared" ref="G15:G16" si="2">E15*F15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7.5" customHeight="1">
      <c r="A16" s="50" t="s">
        <v>45</v>
      </c>
      <c r="B16" s="51" t="s">
        <v>46</v>
      </c>
      <c r="C16" s="51" t="s">
        <v>47</v>
      </c>
      <c r="D16" s="52" t="s">
        <v>48</v>
      </c>
      <c r="E16" s="53"/>
      <c r="F16" s="54">
        <v>1.0</v>
      </c>
      <c r="G16" s="55">
        <f t="shared" si="2"/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32.25" customHeight="1">
      <c r="A17" s="56" t="s">
        <v>56</v>
      </c>
      <c r="B17" s="30"/>
      <c r="C17" s="30"/>
      <c r="D17" s="30"/>
      <c r="E17" s="31"/>
      <c r="F17" s="42" t="s">
        <v>40</v>
      </c>
      <c r="G17" s="43">
        <f>sum(G15:G16)</f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7.0" customHeight="1">
      <c r="A18" s="29" t="s">
        <v>23</v>
      </c>
      <c r="B18" s="30"/>
      <c r="C18" s="30"/>
      <c r="D18" s="30"/>
      <c r="E18" s="30"/>
      <c r="F18" s="30"/>
      <c r="G18" s="3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6:E7"/>
    <mergeCell ref="F6:F7"/>
    <mergeCell ref="D6:D7"/>
    <mergeCell ref="A14:E14"/>
    <mergeCell ref="A17:E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0" priority="1">
      <formula>LEN(TRIM(E8))&gt;0</formula>
    </cfRule>
  </conditionalFormatting>
  <conditionalFormatting sqref="G14">
    <cfRule type="cellIs" dxfId="1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:E16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13"/>
    <col customWidth="1" min="2" max="4" width="26.25"/>
    <col customWidth="1" min="5" max="5" width="12.25"/>
    <col customWidth="1" min="6" max="6" width="11.0"/>
    <col customWidth="1" min="7" max="7" width="11.63"/>
  </cols>
  <sheetData>
    <row r="1" ht="21.0" customHeight="1">
      <c r="A1" s="1" t="str">
        <f>'Team Rubrics'!A1</f>
        <v>BMCS2063 Data Structures and Algorithms - Assignment Rubrics 202605</v>
      </c>
      <c r="B1" s="1"/>
      <c r="C1" s="1"/>
      <c r="D1" s="1"/>
      <c r="E1" s="2"/>
      <c r="F1" s="3" t="s">
        <v>24</v>
      </c>
      <c r="G1" s="33">
        <f>G14+G15</f>
        <v>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75" customHeight="1">
      <c r="A2" s="7"/>
      <c r="B2" s="8"/>
      <c r="C2" s="8"/>
      <c r="D2" s="8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9.5" customHeight="1">
      <c r="A3" s="34"/>
      <c r="B3" s="19"/>
      <c r="C3" s="19"/>
      <c r="D3" s="35" t="s">
        <v>25</v>
      </c>
      <c r="E3" s="36"/>
      <c r="F3" s="13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22.5" customHeight="1">
      <c r="A4" s="15" t="str">
        <f>'Team Rubrics'!A4</f>
        <v>Tutor Name:</v>
      </c>
      <c r="B4" s="16" t="str">
        <f>'Team Rubrics'!B4</f>
        <v/>
      </c>
      <c r="C4" s="13"/>
      <c r="D4" s="15" t="s">
        <v>26</v>
      </c>
      <c r="E4" s="38"/>
      <c r="F4" s="13"/>
      <c r="G4" s="13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75" customHeight="1">
      <c r="A5" s="18"/>
      <c r="B5" s="19"/>
      <c r="C5" s="19"/>
      <c r="D5" s="19"/>
      <c r="E5" s="20"/>
      <c r="F5" s="15"/>
      <c r="G5" s="1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21" t="s">
        <v>5</v>
      </c>
      <c r="B6" s="22" t="s">
        <v>6</v>
      </c>
      <c r="C6" s="22" t="s">
        <v>7</v>
      </c>
      <c r="D6" s="22" t="s">
        <v>8</v>
      </c>
      <c r="E6" s="23" t="s">
        <v>9</v>
      </c>
      <c r="F6" s="23" t="s">
        <v>10</v>
      </c>
      <c r="G6" s="23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24"/>
      <c r="B7" s="24"/>
      <c r="C7" s="24"/>
      <c r="D7" s="24"/>
      <c r="E7" s="24"/>
      <c r="F7" s="24"/>
      <c r="G7" s="2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39.0" customHeight="1">
      <c r="A8" s="25" t="s">
        <v>12</v>
      </c>
      <c r="B8" s="26" t="s">
        <v>13</v>
      </c>
      <c r="C8" s="26" t="s">
        <v>14</v>
      </c>
      <c r="D8" s="26" t="s">
        <v>15</v>
      </c>
      <c r="E8" s="39" t="str">
        <f>'Team Rubrics'!$E$8</f>
        <v/>
      </c>
      <c r="F8" s="28">
        <v>1.0</v>
      </c>
      <c r="G8" s="27">
        <f t="shared" ref="G8:G13" si="1">E8*F8</f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33.75" customHeight="1">
      <c r="A9" s="25" t="s">
        <v>16</v>
      </c>
      <c r="B9" s="26" t="s">
        <v>13</v>
      </c>
      <c r="C9" s="26" t="s">
        <v>17</v>
      </c>
      <c r="D9" s="26" t="s">
        <v>18</v>
      </c>
      <c r="E9" s="39" t="str">
        <f>'Team Rubrics'!$E$9</f>
        <v/>
      </c>
      <c r="F9" s="28">
        <v>1.0</v>
      </c>
      <c r="G9" s="27">
        <f t="shared" si="1"/>
        <v>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2.0" customHeight="1">
      <c r="A10" s="25" t="s">
        <v>19</v>
      </c>
      <c r="B10" s="25" t="s">
        <v>20</v>
      </c>
      <c r="C10" s="25" t="s">
        <v>21</v>
      </c>
      <c r="D10" s="25" t="s">
        <v>22</v>
      </c>
      <c r="E10" s="39" t="str">
        <f>'Team Rubrics'!$E$10</f>
        <v/>
      </c>
      <c r="F10" s="28">
        <v>1.5</v>
      </c>
      <c r="G10" s="27">
        <f t="shared" si="1"/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2.25" customHeight="1">
      <c r="A11" s="25" t="s">
        <v>27</v>
      </c>
      <c r="B11" s="26" t="s">
        <v>28</v>
      </c>
      <c r="C11" s="26" t="s">
        <v>29</v>
      </c>
      <c r="D11" s="26" t="s">
        <v>30</v>
      </c>
      <c r="E11" s="27"/>
      <c r="F11" s="28">
        <v>1.5</v>
      </c>
      <c r="G11" s="27">
        <f t="shared" si="1"/>
        <v>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40.5" customHeight="1">
      <c r="A12" s="25" t="s">
        <v>31</v>
      </c>
      <c r="B12" s="25" t="s">
        <v>32</v>
      </c>
      <c r="C12" s="25" t="s">
        <v>33</v>
      </c>
      <c r="D12" s="25" t="s">
        <v>57</v>
      </c>
      <c r="E12" s="27"/>
      <c r="F12" s="28">
        <v>2.0</v>
      </c>
      <c r="G12" s="27">
        <f t="shared" si="1"/>
        <v>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0.5" customHeight="1">
      <c r="A13" s="26" t="s">
        <v>58</v>
      </c>
      <c r="B13" s="26" t="s">
        <v>59</v>
      </c>
      <c r="C13" s="26" t="s">
        <v>60</v>
      </c>
      <c r="D13" s="26" t="s">
        <v>61</v>
      </c>
      <c r="E13" s="27"/>
      <c r="F13" s="28">
        <v>1.5</v>
      </c>
      <c r="G13" s="27">
        <f t="shared" si="1"/>
        <v>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30.0" customHeight="1">
      <c r="A14" s="41" t="s">
        <v>62</v>
      </c>
      <c r="B14" s="30"/>
      <c r="C14" s="30"/>
      <c r="D14" s="30"/>
      <c r="E14" s="31"/>
      <c r="F14" s="42" t="s">
        <v>40</v>
      </c>
      <c r="G14" s="43">
        <f>sum(G8:G13)</f>
        <v>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30.75" customHeight="1">
      <c r="A15" s="44" t="s">
        <v>41</v>
      </c>
      <c r="B15" s="45" t="s">
        <v>42</v>
      </c>
      <c r="C15" s="45" t="s">
        <v>43</v>
      </c>
      <c r="D15" s="46" t="s">
        <v>44</v>
      </c>
      <c r="E15" s="47"/>
      <c r="F15" s="48">
        <v>0.5</v>
      </c>
      <c r="G15" s="49">
        <f t="shared" ref="G15:G16" si="2">E15*F15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8.25" customHeight="1">
      <c r="A16" s="50" t="s">
        <v>45</v>
      </c>
      <c r="B16" s="51" t="s">
        <v>46</v>
      </c>
      <c r="C16" s="51" t="s">
        <v>47</v>
      </c>
      <c r="D16" s="52" t="s">
        <v>48</v>
      </c>
      <c r="E16" s="53"/>
      <c r="F16" s="54">
        <v>1.0</v>
      </c>
      <c r="G16" s="55">
        <f t="shared" si="2"/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8.5" customHeight="1">
      <c r="A17" s="56" t="s">
        <v>63</v>
      </c>
      <c r="B17" s="30"/>
      <c r="C17" s="30"/>
      <c r="D17" s="30"/>
      <c r="E17" s="31"/>
      <c r="F17" s="42" t="s">
        <v>40</v>
      </c>
      <c r="G17" s="43">
        <f>sum(G15:G16)</f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35.25" customHeight="1">
      <c r="A18" s="29" t="s">
        <v>23</v>
      </c>
      <c r="B18" s="30"/>
      <c r="C18" s="30"/>
      <c r="D18" s="30"/>
      <c r="E18" s="30"/>
      <c r="F18" s="30"/>
      <c r="G18" s="3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6:E7"/>
    <mergeCell ref="F6:F7"/>
    <mergeCell ref="D6:D7"/>
    <mergeCell ref="A14:E14"/>
    <mergeCell ref="A17:E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0" priority="1">
      <formula>LEN(TRIM(E8))&gt;0</formula>
    </cfRule>
  </conditionalFormatting>
  <conditionalFormatting sqref="G14">
    <cfRule type="cellIs" dxfId="1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:E16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5.38"/>
    <col customWidth="1" min="3" max="4" width="26.25"/>
    <col customWidth="1" min="5" max="5" width="12.25"/>
    <col customWidth="1" min="6" max="6" width="11.0"/>
    <col customWidth="1" min="7" max="7" width="11.63"/>
  </cols>
  <sheetData>
    <row r="1" ht="20.25" customHeight="1">
      <c r="A1" s="1" t="str">
        <f>'Team Rubrics'!A1</f>
        <v>BMCS2063 Data Structures and Algorithms - Assignment Rubrics 202605</v>
      </c>
      <c r="B1" s="1"/>
      <c r="C1" s="1"/>
      <c r="D1" s="1"/>
      <c r="E1" s="2"/>
      <c r="F1" s="3" t="s">
        <v>24</v>
      </c>
      <c r="G1" s="33">
        <f>G14+G15</f>
        <v>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75" customHeight="1">
      <c r="A2" s="7"/>
      <c r="B2" s="8"/>
      <c r="C2" s="8"/>
      <c r="D2" s="8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22.5" customHeight="1">
      <c r="A3" s="34"/>
      <c r="B3" s="19"/>
      <c r="C3" s="19"/>
      <c r="D3" s="35" t="s">
        <v>25</v>
      </c>
      <c r="E3" s="36"/>
      <c r="F3" s="13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22.5" customHeight="1">
      <c r="A4" s="15" t="str">
        <f>'Team Rubrics'!A4</f>
        <v>Tutor Name:</v>
      </c>
      <c r="B4" s="16" t="str">
        <f>'Team Rubrics'!B4</f>
        <v/>
      </c>
      <c r="C4" s="13"/>
      <c r="D4" s="15" t="s">
        <v>26</v>
      </c>
      <c r="E4" s="38"/>
      <c r="F4" s="13"/>
      <c r="G4" s="13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75" customHeight="1">
      <c r="A5" s="18"/>
      <c r="B5" s="19"/>
      <c r="C5" s="19"/>
      <c r="D5" s="19"/>
      <c r="E5" s="20"/>
      <c r="F5" s="15"/>
      <c r="G5" s="1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21" t="s">
        <v>5</v>
      </c>
      <c r="B6" s="22" t="s">
        <v>6</v>
      </c>
      <c r="C6" s="22" t="s">
        <v>7</v>
      </c>
      <c r="D6" s="22" t="s">
        <v>8</v>
      </c>
      <c r="E6" s="23" t="s">
        <v>9</v>
      </c>
      <c r="F6" s="23" t="s">
        <v>10</v>
      </c>
      <c r="G6" s="23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24"/>
      <c r="B7" s="24"/>
      <c r="C7" s="24"/>
      <c r="D7" s="24"/>
      <c r="E7" s="24"/>
      <c r="F7" s="24"/>
      <c r="G7" s="2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39.75" customHeight="1">
      <c r="A8" s="25" t="s">
        <v>12</v>
      </c>
      <c r="B8" s="26" t="s">
        <v>13</v>
      </c>
      <c r="C8" s="26" t="s">
        <v>14</v>
      </c>
      <c r="D8" s="26" t="s">
        <v>15</v>
      </c>
      <c r="E8" s="39" t="str">
        <f>'Team Rubrics'!$E$8</f>
        <v/>
      </c>
      <c r="F8" s="28">
        <v>1.0</v>
      </c>
      <c r="G8" s="27">
        <f t="shared" ref="G8:G13" si="1">E8*F8</f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33.75" customHeight="1">
      <c r="A9" s="25" t="s">
        <v>16</v>
      </c>
      <c r="B9" s="26" t="s">
        <v>13</v>
      </c>
      <c r="C9" s="26" t="s">
        <v>17</v>
      </c>
      <c r="D9" s="26" t="s">
        <v>18</v>
      </c>
      <c r="E9" s="39" t="str">
        <f>'Team Rubrics'!$E$9</f>
        <v/>
      </c>
      <c r="F9" s="28">
        <v>1.0</v>
      </c>
      <c r="G9" s="27">
        <f t="shared" si="1"/>
        <v>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2.0" customHeight="1">
      <c r="A10" s="25" t="s">
        <v>19</v>
      </c>
      <c r="B10" s="25" t="s">
        <v>20</v>
      </c>
      <c r="C10" s="25" t="s">
        <v>21</v>
      </c>
      <c r="D10" s="25" t="s">
        <v>22</v>
      </c>
      <c r="E10" s="39" t="str">
        <f>'Team Rubrics'!$E$10</f>
        <v/>
      </c>
      <c r="F10" s="28">
        <v>1.5</v>
      </c>
      <c r="G10" s="27">
        <f t="shared" si="1"/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3.0" customHeight="1">
      <c r="A11" s="25" t="s">
        <v>27</v>
      </c>
      <c r="B11" s="26" t="s">
        <v>28</v>
      </c>
      <c r="C11" s="26" t="s">
        <v>29</v>
      </c>
      <c r="D11" s="26" t="s">
        <v>30</v>
      </c>
      <c r="E11" s="27"/>
      <c r="F11" s="28">
        <v>1.5</v>
      </c>
      <c r="G11" s="27">
        <f t="shared" si="1"/>
        <v>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40.5" customHeight="1">
      <c r="A12" s="25" t="s">
        <v>31</v>
      </c>
      <c r="B12" s="25" t="s">
        <v>32</v>
      </c>
      <c r="C12" s="25" t="s">
        <v>33</v>
      </c>
      <c r="D12" s="25" t="s">
        <v>64</v>
      </c>
      <c r="E12" s="27"/>
      <c r="F12" s="28">
        <v>2.0</v>
      </c>
      <c r="G12" s="27">
        <f t="shared" si="1"/>
        <v>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0.5" customHeight="1">
      <c r="A13" s="26" t="s">
        <v>65</v>
      </c>
      <c r="B13" s="26" t="s">
        <v>66</v>
      </c>
      <c r="C13" s="26" t="s">
        <v>67</v>
      </c>
      <c r="D13" s="26" t="s">
        <v>68</v>
      </c>
      <c r="E13" s="27"/>
      <c r="F13" s="28">
        <v>1.5</v>
      </c>
      <c r="G13" s="27">
        <f t="shared" si="1"/>
        <v>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30.0" customHeight="1">
      <c r="A14" s="41" t="s">
        <v>69</v>
      </c>
      <c r="B14" s="30"/>
      <c r="C14" s="30"/>
      <c r="D14" s="30"/>
      <c r="E14" s="31"/>
      <c r="F14" s="42" t="s">
        <v>40</v>
      </c>
      <c r="G14" s="43">
        <f>sum(G8:G13)</f>
        <v>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30.75" customHeight="1">
      <c r="A15" s="44" t="s">
        <v>41</v>
      </c>
      <c r="B15" s="45" t="s">
        <v>42</v>
      </c>
      <c r="C15" s="45" t="s">
        <v>43</v>
      </c>
      <c r="D15" s="46" t="s">
        <v>44</v>
      </c>
      <c r="E15" s="47"/>
      <c r="F15" s="48">
        <v>0.5</v>
      </c>
      <c r="G15" s="49">
        <f t="shared" ref="G15:G16" si="2">E15*F15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7.5" customHeight="1">
      <c r="A16" s="50" t="s">
        <v>45</v>
      </c>
      <c r="B16" s="51" t="s">
        <v>46</v>
      </c>
      <c r="C16" s="51" t="s">
        <v>47</v>
      </c>
      <c r="D16" s="52" t="s">
        <v>48</v>
      </c>
      <c r="E16" s="53"/>
      <c r="F16" s="54">
        <v>1.0</v>
      </c>
      <c r="G16" s="55">
        <f t="shared" si="2"/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7.75" customHeight="1">
      <c r="A17" s="56" t="s">
        <v>70</v>
      </c>
      <c r="B17" s="30"/>
      <c r="C17" s="30"/>
      <c r="D17" s="30"/>
      <c r="E17" s="31"/>
      <c r="F17" s="42" t="s">
        <v>40</v>
      </c>
      <c r="G17" s="43">
        <f>sum(G15:G16)</f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2.75" customHeight="1">
      <c r="A18" s="29" t="s">
        <v>23</v>
      </c>
      <c r="B18" s="30"/>
      <c r="C18" s="30"/>
      <c r="D18" s="30"/>
      <c r="E18" s="30"/>
      <c r="F18" s="30"/>
      <c r="G18" s="3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6:E7"/>
    <mergeCell ref="F6:F7"/>
    <mergeCell ref="D6:D7"/>
    <mergeCell ref="A14:E14"/>
    <mergeCell ref="A17:E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0" priority="1">
      <formula>LEN(TRIM(E8))&gt;0</formula>
    </cfRule>
  </conditionalFormatting>
  <conditionalFormatting sqref="G14">
    <cfRule type="cellIs" dxfId="1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:E16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